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Suli\4.félév\Operációs rendszerek\ELJUVY_0327\"/>
    </mc:Choice>
  </mc:AlternateContent>
  <xr:revisionPtr revIDLastSave="0" documentId="13_ncr:1_{B22D0E9F-3497-481D-9787-FB39C65F4046}" xr6:coauthVersionLast="47" xr6:coauthVersionMax="47" xr10:uidLastSave="{00000000-0000-0000-0000-000000000000}"/>
  <bookViews>
    <workbookView xWindow="-108" yWindow="-108" windowWidth="23256" windowHeight="12456" xr2:uid="{4BB2D3FA-6DFA-45F1-8240-F1309E6F766B}"/>
  </bookViews>
  <sheets>
    <sheet name="FCFS" sheetId="1" r:id="rId1"/>
    <sheet name="SJF" sheetId="4" r:id="rId2"/>
    <sheet name="RR" sheetId="2" r:id="rId3"/>
    <sheet name="5.Task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0" i="2" l="1"/>
  <c r="G15" i="5"/>
  <c r="G16" i="5"/>
  <c r="C10" i="5"/>
  <c r="D9" i="5"/>
  <c r="E9" i="5"/>
  <c r="F9" i="5"/>
  <c r="G9" i="5"/>
  <c r="H9" i="5"/>
  <c r="I9" i="5"/>
  <c r="J9" i="5"/>
  <c r="K9" i="5"/>
  <c r="L9" i="5"/>
  <c r="M9" i="5"/>
  <c r="N9" i="5"/>
  <c r="C9" i="5"/>
  <c r="E16" i="2"/>
  <c r="E15" i="2"/>
  <c r="D9" i="2"/>
  <c r="E9" i="2"/>
  <c r="F9" i="2"/>
  <c r="G9" i="2"/>
  <c r="H9" i="2"/>
  <c r="I9" i="2"/>
  <c r="C9" i="2"/>
  <c r="G8" i="4"/>
  <c r="E9" i="4"/>
  <c r="F9" i="4"/>
  <c r="G9" i="4"/>
  <c r="C9" i="4"/>
  <c r="F8" i="4"/>
  <c r="E8" i="4"/>
  <c r="D8" i="4"/>
  <c r="D9" i="4" s="1"/>
  <c r="C8" i="4"/>
  <c r="G7" i="4"/>
  <c r="F7" i="4"/>
  <c r="E7" i="4"/>
  <c r="D7" i="4"/>
  <c r="C7" i="4"/>
  <c r="E15" i="4" l="1"/>
  <c r="C10" i="4"/>
  <c r="E16" i="4"/>
  <c r="E15" i="1" l="1"/>
  <c r="G8" i="1"/>
  <c r="D8" i="1"/>
  <c r="E8" i="1"/>
  <c r="F8" i="1"/>
  <c r="C8" i="1"/>
  <c r="D7" i="1"/>
  <c r="E7" i="1"/>
  <c r="F7" i="1"/>
  <c r="G7" i="1"/>
  <c r="C7" i="1"/>
  <c r="E16" i="1" l="1"/>
  <c r="C10" i="1"/>
</calcChain>
</file>

<file path=xl/sharedStrings.xml><?xml version="1.0" encoding="utf-8"?>
<sst xmlns="http://schemas.openxmlformats.org/spreadsheetml/2006/main" count="102" uniqueCount="30">
  <si>
    <t>FCFS</t>
  </si>
  <si>
    <t>P1</t>
  </si>
  <si>
    <t>P2</t>
  </si>
  <si>
    <t>P3</t>
  </si>
  <si>
    <t>P4</t>
  </si>
  <si>
    <t>P5</t>
  </si>
  <si>
    <t>ÉRKEZÉS</t>
  </si>
  <si>
    <t>CPU IDŐ</t>
  </si>
  <si>
    <t>INDULÁS</t>
  </si>
  <si>
    <t>BEFEJEZÉS</t>
  </si>
  <si>
    <t>Befejezési idő = Indulási idő + CPU idő</t>
  </si>
  <si>
    <t>Válasz idő = Érkezési idő – Indulási idő</t>
  </si>
  <si>
    <t>Átfutási idő = Befejezési idő – Érkezési idő</t>
  </si>
  <si>
    <t>VÁRAKOZÁS</t>
  </si>
  <si>
    <t>Átl.Vár.</t>
  </si>
  <si>
    <t>Várakozási idő = Indulási idő - Érkezési idő</t>
  </si>
  <si>
    <t>RR 5ms</t>
  </si>
  <si>
    <t>Sorrend:</t>
  </si>
  <si>
    <t>P1-P2-P3-P4-P5</t>
  </si>
  <si>
    <t>P1-P2-P3-P2-P4-P5-P4</t>
  </si>
  <si>
    <t>Körülfordulási idők átlaga</t>
  </si>
  <si>
    <t>Várakozási idők átlaga</t>
  </si>
  <si>
    <t>Válaszidők átlaga</t>
  </si>
  <si>
    <t>CPU kihasználtság (%)</t>
  </si>
  <si>
    <t>Körülfordulási idő = CPU IDŐ + VÁRAKOZÁS</t>
  </si>
  <si>
    <t>Körülford. idő</t>
  </si>
  <si>
    <t>SJF</t>
  </si>
  <si>
    <t>P1-P3-P2-P5-P4</t>
  </si>
  <si>
    <t>Körülford. Idő</t>
  </si>
  <si>
    <t>Round-Robin (5ms)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</si>
</sst>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"/>
  </numFmts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theme="9" tint="0.39997558519241921"/>
      </left>
      <right/>
      <top style="medium">
        <color indexed="64"/>
      </top>
      <bottom/>
      <diagonal/>
    </border>
    <border>
      <left style="thick">
        <color theme="9" tint="0.39997558519241921"/>
      </left>
      <right/>
      <top/>
      <bottom/>
      <diagonal/>
    </border>
    <border>
      <left style="thick">
        <color theme="9" tint="0.39997558519241921"/>
      </left>
      <right/>
      <top/>
      <bottom style="medium">
        <color indexed="64"/>
      </bottom>
      <diagonal/>
    </border>
    <border>
      <left style="thick">
        <color theme="9" tint="0.59999389629810485"/>
      </left>
      <right/>
      <top/>
      <bottom/>
      <diagonal/>
    </border>
    <border>
      <left style="thick">
        <color theme="9" tint="0.59999389629810485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" fillId="0" borderId="0" xfId="0" applyFont="1" applyAlignment="1">
      <alignment vertical="center"/>
    </xf>
    <xf numFmtId="0" fontId="0" fillId="2" borderId="13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1" fillId="0" borderId="0" xfId="0" applyFont="1" applyAlignment="1">
      <alignment horizontal="left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0" borderId="1" xfId="0" applyFill="1" applyBorder="1" applyAlignment="1">
      <alignment horizontal="center" wrapText="1"/>
    </xf>
    <xf numFmtId="0" fontId="0" fillId="0" borderId="1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5" xfId="0" applyFill="1" applyBorder="1" applyAlignment="1">
      <alignment horizontal="left" vertical="center"/>
    </xf>
    <xf numFmtId="0" fontId="0" fillId="0" borderId="0" xfId="0" applyFill="1" applyBorder="1" applyAlignment="1">
      <alignment horizontal="left" vertical="center"/>
    </xf>
    <xf numFmtId="9" fontId="0" fillId="0" borderId="5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1" fillId="0" borderId="0" xfId="0" applyFont="1" applyBorder="1" applyAlignment="1">
      <alignment vertical="center"/>
    </xf>
    <xf numFmtId="0" fontId="0" fillId="3" borderId="19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0" borderId="10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/>
    </xf>
    <xf numFmtId="171" fontId="0" fillId="0" borderId="2" xfId="0" applyNumberFormat="1" applyBorder="1" applyAlignment="1">
      <alignment horizontal="center"/>
    </xf>
    <xf numFmtId="171" fontId="0" fillId="0" borderId="3" xfId="0" applyNumberFormat="1" applyBorder="1" applyAlignment="1">
      <alignment horizontal="center"/>
    </xf>
    <xf numFmtId="171" fontId="0" fillId="0" borderId="4" xfId="0" applyNumberFormat="1" applyBorder="1" applyAlignment="1">
      <alignment horizontal="center"/>
    </xf>
    <xf numFmtId="171" fontId="0" fillId="0" borderId="10" xfId="0" applyNumberFormat="1" applyBorder="1" applyAlignment="1">
      <alignment horizontal="center"/>
    </xf>
    <xf numFmtId="171" fontId="0" fillId="0" borderId="11" xfId="0" applyNumberFormat="1" applyBorder="1" applyAlignment="1">
      <alignment horizontal="center"/>
    </xf>
    <xf numFmtId="171" fontId="0" fillId="0" borderId="12" xfId="0" applyNumberFormat="1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12" xfId="0" applyFill="1" applyBorder="1" applyAlignment="1">
      <alignment horizontal="center"/>
    </xf>
    <xf numFmtId="9" fontId="0" fillId="0" borderId="0" xfId="0" applyNumberFormat="1" applyFill="1" applyBorder="1" applyAlignment="1">
      <alignment horizontal="center"/>
    </xf>
    <xf numFmtId="0" fontId="0" fillId="0" borderId="0" xfId="0" applyFill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3" borderId="10" xfId="0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0" borderId="5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9" fontId="0" fillId="0" borderId="6" xfId="0" applyNumberForma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0" borderId="10" xfId="0" applyBorder="1" applyAlignment="1">
      <alignment horizontal="left"/>
    </xf>
    <xf numFmtId="171" fontId="0" fillId="0" borderId="14" xfId="0" applyNumberFormat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1" xfId="0" applyFill="1" applyBorder="1" applyAlignment="1">
      <alignment horizont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9461E-78C2-4810-8663-8189958F0F32}">
  <dimension ref="B2:AX17"/>
  <sheetViews>
    <sheetView tabSelected="1" zoomScaleNormal="100" workbookViewId="0">
      <selection activeCell="C20" sqref="C20"/>
    </sheetView>
  </sheetViews>
  <sheetFormatPr defaultRowHeight="14.4" x14ac:dyDescent="0.3"/>
  <cols>
    <col min="1" max="1" width="3.77734375" style="1" customWidth="1"/>
    <col min="2" max="2" width="10.5546875" style="1" bestFit="1" customWidth="1"/>
    <col min="3" max="7" width="8.88671875" style="1"/>
    <col min="8" max="8" width="4.109375" style="1" customWidth="1"/>
    <col min="9" max="9" width="4.21875" style="1" customWidth="1"/>
    <col min="10" max="48" width="3.21875" style="1" customWidth="1"/>
    <col min="49" max="49" width="3.33203125" style="1" customWidth="1"/>
    <col min="50" max="50" width="3.109375" style="1" customWidth="1"/>
    <col min="51" max="16384" width="8.88671875" style="1"/>
  </cols>
  <sheetData>
    <row r="2" spans="2:50" ht="15" thickBot="1" x14ac:dyDescent="0.35"/>
    <row r="3" spans="2:50" ht="15" thickBot="1" x14ac:dyDescent="0.35">
      <c r="B3" s="13" t="s">
        <v>0</v>
      </c>
      <c r="C3" s="11" t="s">
        <v>1</v>
      </c>
      <c r="D3" s="10" t="s">
        <v>2</v>
      </c>
      <c r="E3" s="13" t="s">
        <v>3</v>
      </c>
      <c r="F3" s="12" t="s">
        <v>4</v>
      </c>
      <c r="G3" s="12" t="s">
        <v>5</v>
      </c>
      <c r="J3" s="10">
        <v>0</v>
      </c>
      <c r="K3" s="11">
        <v>1</v>
      </c>
      <c r="L3" s="11">
        <v>2</v>
      </c>
      <c r="M3" s="11">
        <v>3</v>
      </c>
      <c r="N3" s="11">
        <v>4</v>
      </c>
      <c r="O3" s="11">
        <v>5</v>
      </c>
      <c r="P3" s="11">
        <v>6</v>
      </c>
      <c r="Q3" s="11">
        <v>7</v>
      </c>
      <c r="R3" s="11">
        <v>8</v>
      </c>
      <c r="S3" s="11">
        <v>9</v>
      </c>
      <c r="T3" s="11">
        <v>10</v>
      </c>
      <c r="U3" s="11">
        <v>11</v>
      </c>
      <c r="V3" s="11">
        <v>12</v>
      </c>
      <c r="W3" s="11">
        <v>13</v>
      </c>
      <c r="X3" s="11">
        <v>14</v>
      </c>
      <c r="Y3" s="11">
        <v>15</v>
      </c>
      <c r="Z3" s="11">
        <v>16</v>
      </c>
      <c r="AA3" s="11">
        <v>17</v>
      </c>
      <c r="AB3" s="11">
        <v>18</v>
      </c>
      <c r="AC3" s="11">
        <v>19</v>
      </c>
      <c r="AD3" s="11">
        <v>20</v>
      </c>
      <c r="AE3" s="11">
        <v>21</v>
      </c>
      <c r="AF3" s="11">
        <v>22</v>
      </c>
      <c r="AG3" s="11">
        <v>23</v>
      </c>
      <c r="AH3" s="11">
        <v>24</v>
      </c>
      <c r="AI3" s="11">
        <v>25</v>
      </c>
      <c r="AJ3" s="11">
        <v>26</v>
      </c>
      <c r="AK3" s="11">
        <v>27</v>
      </c>
      <c r="AL3" s="11">
        <v>28</v>
      </c>
      <c r="AM3" s="11">
        <v>29</v>
      </c>
      <c r="AN3" s="11">
        <v>30</v>
      </c>
      <c r="AO3" s="11">
        <v>31</v>
      </c>
      <c r="AP3" s="11">
        <v>32</v>
      </c>
      <c r="AQ3" s="11">
        <v>33</v>
      </c>
      <c r="AR3" s="11">
        <v>34</v>
      </c>
      <c r="AS3" s="11">
        <v>35</v>
      </c>
      <c r="AT3" s="11">
        <v>36</v>
      </c>
      <c r="AU3" s="11">
        <v>37</v>
      </c>
      <c r="AV3" s="11">
        <v>38</v>
      </c>
      <c r="AW3" s="11">
        <v>39</v>
      </c>
      <c r="AX3" s="12">
        <v>40</v>
      </c>
    </row>
    <row r="4" spans="2:50" x14ac:dyDescent="0.3">
      <c r="B4" s="40" t="s">
        <v>6</v>
      </c>
      <c r="C4" s="32">
        <v>0</v>
      </c>
      <c r="D4" s="33">
        <v>1</v>
      </c>
      <c r="E4" s="40">
        <v>3</v>
      </c>
      <c r="F4" s="34">
        <v>9</v>
      </c>
      <c r="G4" s="34">
        <v>12</v>
      </c>
      <c r="I4" s="27" t="s">
        <v>1</v>
      </c>
      <c r="J4" s="48"/>
      <c r="K4" s="19"/>
      <c r="L4" s="19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3"/>
    </row>
    <row r="5" spans="2:50" x14ac:dyDescent="0.3">
      <c r="B5" s="18" t="s">
        <v>7</v>
      </c>
      <c r="C5" s="20">
        <v>3</v>
      </c>
      <c r="D5" s="36">
        <v>8</v>
      </c>
      <c r="E5" s="18">
        <v>2</v>
      </c>
      <c r="F5" s="37">
        <v>20</v>
      </c>
      <c r="G5" s="37">
        <v>5</v>
      </c>
      <c r="I5" s="14" t="s">
        <v>2</v>
      </c>
      <c r="J5" s="4"/>
      <c r="K5" s="49"/>
      <c r="L5" s="29"/>
      <c r="M5" s="20"/>
      <c r="N5" s="20"/>
      <c r="O5" s="20"/>
      <c r="P5" s="20"/>
      <c r="Q5" s="20"/>
      <c r="R5" s="20"/>
      <c r="S5" s="20"/>
      <c r="T5" s="20"/>
      <c r="U5" s="21"/>
      <c r="V5" s="21"/>
      <c r="W5" s="21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6"/>
    </row>
    <row r="6" spans="2:50" ht="15" thickBot="1" x14ac:dyDescent="0.35">
      <c r="B6" s="15" t="s">
        <v>8</v>
      </c>
      <c r="C6" s="8">
        <v>0</v>
      </c>
      <c r="D6" s="7">
        <v>3</v>
      </c>
      <c r="E6" s="15">
        <v>11</v>
      </c>
      <c r="F6" s="9">
        <v>13</v>
      </c>
      <c r="G6" s="9">
        <v>33</v>
      </c>
      <c r="I6" s="14" t="s">
        <v>3</v>
      </c>
      <c r="J6" s="4"/>
      <c r="K6" s="5"/>
      <c r="L6" s="5"/>
      <c r="M6" s="49"/>
      <c r="N6" s="29"/>
      <c r="O6" s="29"/>
      <c r="P6" s="29"/>
      <c r="Q6" s="29"/>
      <c r="R6" s="29"/>
      <c r="S6" s="29"/>
      <c r="T6" s="29"/>
      <c r="U6" s="20"/>
      <c r="V6" s="20"/>
      <c r="W6" s="21"/>
      <c r="X6" s="21"/>
      <c r="Y6" s="21"/>
      <c r="Z6" s="21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6"/>
    </row>
    <row r="7" spans="2:50" ht="15" thickBot="1" x14ac:dyDescent="0.35">
      <c r="B7" s="14" t="s">
        <v>9</v>
      </c>
      <c r="C7" s="10">
        <f>C6+C5</f>
        <v>3</v>
      </c>
      <c r="D7" s="10">
        <f>D6+D5</f>
        <v>11</v>
      </c>
      <c r="E7" s="10">
        <f t="shared" ref="E7:G7" si="0">E6+E5</f>
        <v>13</v>
      </c>
      <c r="F7" s="10">
        <f t="shared" si="0"/>
        <v>33</v>
      </c>
      <c r="G7" s="13">
        <f t="shared" si="0"/>
        <v>38</v>
      </c>
      <c r="I7" s="14" t="s">
        <v>4</v>
      </c>
      <c r="J7" s="4"/>
      <c r="K7" s="5"/>
      <c r="L7" s="5"/>
      <c r="M7" s="21"/>
      <c r="N7" s="21"/>
      <c r="O7" s="21"/>
      <c r="P7" s="21"/>
      <c r="Q7" s="21"/>
      <c r="R7" s="21"/>
      <c r="S7" s="49"/>
      <c r="T7" s="29"/>
      <c r="U7" s="29"/>
      <c r="V7" s="29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5"/>
      <c r="AR7" s="5"/>
      <c r="AS7" s="5"/>
      <c r="AT7" s="5"/>
      <c r="AU7" s="5"/>
      <c r="AV7" s="5"/>
      <c r="AW7" s="5"/>
      <c r="AX7" s="6"/>
    </row>
    <row r="8" spans="2:50" ht="15" thickBot="1" x14ac:dyDescent="0.35">
      <c r="B8" s="38" t="s">
        <v>13</v>
      </c>
      <c r="C8" s="38">
        <f>C6-C4</f>
        <v>0</v>
      </c>
      <c r="D8" s="38">
        <f t="shared" ref="D8:F8" si="1">D6-D4</f>
        <v>2</v>
      </c>
      <c r="E8" s="38">
        <f t="shared" si="1"/>
        <v>8</v>
      </c>
      <c r="F8" s="38">
        <f t="shared" si="1"/>
        <v>4</v>
      </c>
      <c r="G8" s="38">
        <f>G6-G4</f>
        <v>21</v>
      </c>
      <c r="I8" s="15" t="s">
        <v>5</v>
      </c>
      <c r="J8" s="7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50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22"/>
      <c r="AR8" s="22"/>
      <c r="AS8" s="22"/>
      <c r="AT8" s="22"/>
      <c r="AU8" s="22"/>
      <c r="AV8" s="8"/>
      <c r="AW8" s="8"/>
      <c r="AX8" s="9"/>
    </row>
    <row r="9" spans="2:50" ht="28.8" customHeight="1" thickBot="1" x14ac:dyDescent="0.35">
      <c r="B9" s="68" t="s">
        <v>25</v>
      </c>
      <c r="C9" s="69">
        <v>3</v>
      </c>
      <c r="D9" s="70">
        <v>10</v>
      </c>
      <c r="E9" s="69">
        <v>10</v>
      </c>
      <c r="F9" s="69">
        <v>24</v>
      </c>
      <c r="G9" s="69">
        <v>26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5"/>
      <c r="AX9" s="5"/>
    </row>
    <row r="10" spans="2:50" ht="15" thickBot="1" x14ac:dyDescent="0.35">
      <c r="B10" s="14" t="s">
        <v>14</v>
      </c>
      <c r="C10" s="14">
        <f>SUM(C8:G8)/5</f>
        <v>7</v>
      </c>
    </row>
    <row r="11" spans="2:50" ht="15" thickBot="1" x14ac:dyDescent="0.35">
      <c r="B11" s="13" t="s">
        <v>17</v>
      </c>
      <c r="C11" s="42" t="s">
        <v>18</v>
      </c>
      <c r="D11" s="42"/>
      <c r="E11" s="42"/>
      <c r="F11" s="42"/>
      <c r="G11" s="43"/>
    </row>
    <row r="12" spans="2:50" ht="15" thickBot="1" x14ac:dyDescent="0.35"/>
    <row r="13" spans="2:50" ht="15" thickBot="1" x14ac:dyDescent="0.35">
      <c r="B13" s="64" t="s">
        <v>0</v>
      </c>
      <c r="C13" s="65"/>
      <c r="D13" s="65"/>
      <c r="E13" s="65"/>
      <c r="F13" s="65"/>
      <c r="G13" s="66"/>
      <c r="I13" s="17" t="s">
        <v>10</v>
      </c>
    </row>
    <row r="14" spans="2:50" ht="15" thickBot="1" x14ac:dyDescent="0.35">
      <c r="B14" s="72" t="s">
        <v>23</v>
      </c>
      <c r="C14" s="73"/>
      <c r="D14" s="73"/>
      <c r="E14" s="74">
        <v>1</v>
      </c>
      <c r="F14" s="75"/>
      <c r="G14" s="76"/>
      <c r="I14" s="77" t="s">
        <v>15</v>
      </c>
    </row>
    <row r="15" spans="2:50" ht="15" thickBot="1" x14ac:dyDescent="0.35">
      <c r="B15" s="60" t="s">
        <v>20</v>
      </c>
      <c r="C15" s="61"/>
      <c r="D15" s="61"/>
      <c r="E15" s="44">
        <f>SUM(C9:G9)/5</f>
        <v>14.6</v>
      </c>
      <c r="F15" s="51"/>
      <c r="G15" s="45"/>
      <c r="I15" s="77" t="s">
        <v>11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2:50" ht="15" thickBot="1" x14ac:dyDescent="0.35">
      <c r="B16" s="62" t="s">
        <v>21</v>
      </c>
      <c r="C16" s="63"/>
      <c r="D16" s="63"/>
      <c r="E16" s="57">
        <f>SUM(C8:G8)/5</f>
        <v>7</v>
      </c>
      <c r="F16" s="58"/>
      <c r="G16" s="59"/>
      <c r="I16" s="17" t="s">
        <v>12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2:9" ht="15" thickBot="1" x14ac:dyDescent="0.35">
      <c r="B17" s="55" t="s">
        <v>22</v>
      </c>
      <c r="C17" s="56"/>
      <c r="D17" s="56"/>
      <c r="E17" s="52">
        <v>7</v>
      </c>
      <c r="F17" s="53"/>
      <c r="G17" s="54"/>
      <c r="I17" s="41" t="s">
        <v>24</v>
      </c>
    </row>
  </sheetData>
  <mergeCells count="10">
    <mergeCell ref="B17:D17"/>
    <mergeCell ref="E14:G14"/>
    <mergeCell ref="E15:G15"/>
    <mergeCell ref="E16:G16"/>
    <mergeCell ref="E17:G17"/>
    <mergeCell ref="C11:G11"/>
    <mergeCell ref="B13:G13"/>
    <mergeCell ref="B14:D14"/>
    <mergeCell ref="B15:D15"/>
    <mergeCell ref="B16:D1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BF8AD-D6B5-4E56-9A35-9B1410C60D4C}">
  <dimension ref="B2:AX18"/>
  <sheetViews>
    <sheetView zoomScaleNormal="100" workbookViewId="0">
      <selection activeCell="B13" sqref="B13:G17"/>
    </sheetView>
  </sheetViews>
  <sheetFormatPr defaultRowHeight="14.4" x14ac:dyDescent="0.3"/>
  <cols>
    <col min="1" max="1" width="3.77734375" style="1" customWidth="1"/>
    <col min="2" max="2" width="10.5546875" style="1" bestFit="1" customWidth="1"/>
    <col min="3" max="7" width="8.88671875" style="1"/>
    <col min="8" max="8" width="4.109375" style="1" customWidth="1"/>
    <col min="9" max="9" width="4.21875" style="1" customWidth="1"/>
    <col min="10" max="48" width="3.21875" style="1" customWidth="1"/>
    <col min="49" max="49" width="3.33203125" style="1" customWidth="1"/>
    <col min="50" max="50" width="3.109375" style="1" customWidth="1"/>
    <col min="51" max="16384" width="8.88671875" style="1"/>
  </cols>
  <sheetData>
    <row r="2" spans="2:50" ht="15" thickBot="1" x14ac:dyDescent="0.35"/>
    <row r="3" spans="2:50" ht="15" thickBot="1" x14ac:dyDescent="0.35">
      <c r="B3" s="13" t="s">
        <v>26</v>
      </c>
      <c r="C3" s="11" t="s">
        <v>1</v>
      </c>
      <c r="D3" s="10" t="s">
        <v>2</v>
      </c>
      <c r="E3" s="13" t="s">
        <v>3</v>
      </c>
      <c r="F3" s="12" t="s">
        <v>4</v>
      </c>
      <c r="G3" s="12" t="s">
        <v>5</v>
      </c>
      <c r="J3" s="10">
        <v>0</v>
      </c>
      <c r="K3" s="11">
        <v>1</v>
      </c>
      <c r="L3" s="11">
        <v>2</v>
      </c>
      <c r="M3" s="11">
        <v>3</v>
      </c>
      <c r="N3" s="11">
        <v>4</v>
      </c>
      <c r="O3" s="11">
        <v>5</v>
      </c>
      <c r="P3" s="11">
        <v>6</v>
      </c>
      <c r="Q3" s="11">
        <v>7</v>
      </c>
      <c r="R3" s="11">
        <v>8</v>
      </c>
      <c r="S3" s="11">
        <v>9</v>
      </c>
      <c r="T3" s="11">
        <v>10</v>
      </c>
      <c r="U3" s="11">
        <v>11</v>
      </c>
      <c r="V3" s="11">
        <v>12</v>
      </c>
      <c r="W3" s="11">
        <v>13</v>
      </c>
      <c r="X3" s="11">
        <v>14</v>
      </c>
      <c r="Y3" s="11">
        <v>15</v>
      </c>
      <c r="Z3" s="11">
        <v>16</v>
      </c>
      <c r="AA3" s="11">
        <v>17</v>
      </c>
      <c r="AB3" s="11">
        <v>18</v>
      </c>
      <c r="AC3" s="11">
        <v>19</v>
      </c>
      <c r="AD3" s="11">
        <v>20</v>
      </c>
      <c r="AE3" s="11">
        <v>21</v>
      </c>
      <c r="AF3" s="11">
        <v>22</v>
      </c>
      <c r="AG3" s="11">
        <v>23</v>
      </c>
      <c r="AH3" s="11">
        <v>24</v>
      </c>
      <c r="AI3" s="11">
        <v>25</v>
      </c>
      <c r="AJ3" s="11">
        <v>26</v>
      </c>
      <c r="AK3" s="11">
        <v>27</v>
      </c>
      <c r="AL3" s="11">
        <v>28</v>
      </c>
      <c r="AM3" s="11">
        <v>29</v>
      </c>
      <c r="AN3" s="11">
        <v>30</v>
      </c>
      <c r="AO3" s="11">
        <v>31</v>
      </c>
      <c r="AP3" s="11">
        <v>32</v>
      </c>
      <c r="AQ3" s="11">
        <v>33</v>
      </c>
      <c r="AR3" s="11">
        <v>34</v>
      </c>
      <c r="AS3" s="11">
        <v>35</v>
      </c>
      <c r="AT3" s="11">
        <v>36</v>
      </c>
      <c r="AU3" s="11">
        <v>37</v>
      </c>
      <c r="AV3" s="11">
        <v>38</v>
      </c>
      <c r="AW3" s="11">
        <v>39</v>
      </c>
      <c r="AX3" s="12">
        <v>40</v>
      </c>
    </row>
    <row r="4" spans="2:50" x14ac:dyDescent="0.3">
      <c r="B4" s="40" t="s">
        <v>6</v>
      </c>
      <c r="C4" s="32">
        <v>0</v>
      </c>
      <c r="D4" s="33">
        <v>1</v>
      </c>
      <c r="E4" s="40">
        <v>3</v>
      </c>
      <c r="F4" s="34">
        <v>9</v>
      </c>
      <c r="G4" s="34">
        <v>12</v>
      </c>
      <c r="I4" s="27" t="s">
        <v>1</v>
      </c>
      <c r="J4" s="48"/>
      <c r="K4" s="19"/>
      <c r="L4" s="19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"/>
      <c r="AX4" s="28"/>
    </row>
    <row r="5" spans="2:50" x14ac:dyDescent="0.3">
      <c r="B5" s="18" t="s">
        <v>7</v>
      </c>
      <c r="C5" s="20">
        <v>3</v>
      </c>
      <c r="D5" s="36">
        <v>8</v>
      </c>
      <c r="E5" s="18">
        <v>2</v>
      </c>
      <c r="F5" s="37">
        <v>20</v>
      </c>
      <c r="G5" s="37">
        <v>5</v>
      </c>
      <c r="I5" s="14" t="s">
        <v>2</v>
      </c>
      <c r="J5" s="24"/>
      <c r="K5" s="78"/>
      <c r="L5" s="29"/>
      <c r="M5" s="29"/>
      <c r="N5" s="29"/>
      <c r="O5" s="20"/>
      <c r="P5" s="20"/>
      <c r="Q5" s="20"/>
      <c r="R5" s="20"/>
      <c r="S5" s="20"/>
      <c r="T5" s="20"/>
      <c r="U5" s="20"/>
      <c r="V5" s="20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5"/>
      <c r="AX5" s="6"/>
    </row>
    <row r="6" spans="2:50" ht="15" thickBot="1" x14ac:dyDescent="0.35">
      <c r="B6" s="15" t="s">
        <v>8</v>
      </c>
      <c r="C6" s="8">
        <v>0</v>
      </c>
      <c r="D6" s="7">
        <v>5</v>
      </c>
      <c r="E6" s="15">
        <v>3</v>
      </c>
      <c r="F6" s="9">
        <v>18</v>
      </c>
      <c r="G6" s="9">
        <v>13</v>
      </c>
      <c r="I6" s="14" t="s">
        <v>3</v>
      </c>
      <c r="J6" s="24"/>
      <c r="K6" s="21"/>
      <c r="L6" s="21"/>
      <c r="M6" s="79"/>
      <c r="N6" s="20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5"/>
      <c r="AX6" s="6"/>
    </row>
    <row r="7" spans="2:50" ht="15" thickBot="1" x14ac:dyDescent="0.35">
      <c r="B7" s="14" t="s">
        <v>9</v>
      </c>
      <c r="C7" s="10">
        <f>C6+C5</f>
        <v>3</v>
      </c>
      <c r="D7" s="10">
        <f>D6+D5</f>
        <v>13</v>
      </c>
      <c r="E7" s="10">
        <f t="shared" ref="E7:G7" si="0">E6+E5</f>
        <v>5</v>
      </c>
      <c r="F7" s="10">
        <f t="shared" si="0"/>
        <v>38</v>
      </c>
      <c r="G7" s="13">
        <f t="shared" si="0"/>
        <v>18</v>
      </c>
      <c r="I7" s="14" t="s">
        <v>4</v>
      </c>
      <c r="J7" s="24"/>
      <c r="K7" s="21"/>
      <c r="L7" s="21"/>
      <c r="M7" s="21"/>
      <c r="N7" s="21"/>
      <c r="O7" s="21"/>
      <c r="P7" s="21"/>
      <c r="Q7" s="21"/>
      <c r="R7" s="21"/>
      <c r="S7" s="78"/>
      <c r="T7" s="29"/>
      <c r="U7" s="29"/>
      <c r="V7" s="29"/>
      <c r="W7" s="29"/>
      <c r="X7" s="29"/>
      <c r="Y7" s="29"/>
      <c r="Z7" s="29"/>
      <c r="AA7" s="29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1"/>
      <c r="AW7" s="5"/>
      <c r="AX7" s="6"/>
    </row>
    <row r="8" spans="2:50" ht="15" thickBot="1" x14ac:dyDescent="0.35">
      <c r="B8" s="38" t="s">
        <v>13</v>
      </c>
      <c r="C8" s="38">
        <f>C6-C4</f>
        <v>0</v>
      </c>
      <c r="D8" s="38">
        <f t="shared" ref="D8:F8" si="1">D6-D4</f>
        <v>4</v>
      </c>
      <c r="E8" s="38">
        <f t="shared" si="1"/>
        <v>0</v>
      </c>
      <c r="F8" s="38">
        <f t="shared" si="1"/>
        <v>9</v>
      </c>
      <c r="G8" s="38">
        <f>G6-G4</f>
        <v>1</v>
      </c>
      <c r="I8" s="15" t="s">
        <v>5</v>
      </c>
      <c r="J8" s="25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80"/>
      <c r="W8" s="22"/>
      <c r="X8" s="22"/>
      <c r="Y8" s="22"/>
      <c r="Z8" s="22"/>
      <c r="AA8" s="22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8"/>
      <c r="AX8" s="9"/>
    </row>
    <row r="9" spans="2:50" ht="28.8" customHeight="1" thickBot="1" x14ac:dyDescent="0.35">
      <c r="B9" s="68" t="s">
        <v>25</v>
      </c>
      <c r="C9" s="69">
        <f>C8+C5</f>
        <v>3</v>
      </c>
      <c r="D9" s="69">
        <f t="shared" ref="D9:G9" si="2">D8+D5</f>
        <v>12</v>
      </c>
      <c r="E9" s="69">
        <f t="shared" si="2"/>
        <v>2</v>
      </c>
      <c r="F9" s="69">
        <f t="shared" si="2"/>
        <v>29</v>
      </c>
      <c r="G9" s="69">
        <f t="shared" si="2"/>
        <v>6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5"/>
      <c r="AX9" s="5"/>
    </row>
    <row r="10" spans="2:50" ht="15" thickBot="1" x14ac:dyDescent="0.35">
      <c r="B10" s="14" t="s">
        <v>14</v>
      </c>
      <c r="C10" s="14">
        <f>SUM(C8:G8)/5</f>
        <v>2.8</v>
      </c>
    </row>
    <row r="11" spans="2:50" ht="15" thickBot="1" x14ac:dyDescent="0.35">
      <c r="B11" s="13" t="s">
        <v>17</v>
      </c>
      <c r="C11" s="42" t="s">
        <v>27</v>
      </c>
      <c r="D11" s="42"/>
      <c r="E11" s="42"/>
      <c r="F11" s="42"/>
      <c r="G11" s="43"/>
    </row>
    <row r="12" spans="2:50" ht="15" thickBot="1" x14ac:dyDescent="0.35"/>
    <row r="13" spans="2:50" ht="15" thickBot="1" x14ac:dyDescent="0.35">
      <c r="B13" s="64" t="s">
        <v>26</v>
      </c>
      <c r="C13" s="65"/>
      <c r="D13" s="65"/>
      <c r="E13" s="65"/>
      <c r="F13" s="65"/>
      <c r="G13" s="66"/>
    </row>
    <row r="14" spans="2:50" ht="15" thickBot="1" x14ac:dyDescent="0.35">
      <c r="B14" s="72" t="s">
        <v>23</v>
      </c>
      <c r="C14" s="73"/>
      <c r="D14" s="73"/>
      <c r="E14" s="74">
        <v>1</v>
      </c>
      <c r="F14" s="75"/>
      <c r="G14" s="76"/>
      <c r="I14" s="17"/>
    </row>
    <row r="15" spans="2:50" ht="15" thickBot="1" x14ac:dyDescent="0.35">
      <c r="B15" s="60" t="s">
        <v>20</v>
      </c>
      <c r="C15" s="61"/>
      <c r="D15" s="61"/>
      <c r="E15" s="44">
        <f>SUM(C9:G9)/5</f>
        <v>10.4</v>
      </c>
      <c r="F15" s="51"/>
      <c r="G15" s="45"/>
      <c r="I15" s="77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2:50" ht="15" thickBot="1" x14ac:dyDescent="0.35">
      <c r="B16" s="62" t="s">
        <v>21</v>
      </c>
      <c r="C16" s="63"/>
      <c r="D16" s="63"/>
      <c r="E16" s="57">
        <f>SUM(C8:G8)/5</f>
        <v>2.8</v>
      </c>
      <c r="F16" s="58"/>
      <c r="G16" s="59"/>
      <c r="I16" s="77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2:9" ht="15" thickBot="1" x14ac:dyDescent="0.35">
      <c r="B17" s="55" t="s">
        <v>22</v>
      </c>
      <c r="C17" s="56"/>
      <c r="D17" s="56"/>
      <c r="E17" s="52">
        <v>2.8</v>
      </c>
      <c r="F17" s="53"/>
      <c r="G17" s="54"/>
      <c r="I17" s="17"/>
    </row>
    <row r="18" spans="2:9" x14ac:dyDescent="0.3">
      <c r="I18" s="41"/>
    </row>
  </sheetData>
  <mergeCells count="10">
    <mergeCell ref="B16:D16"/>
    <mergeCell ref="E16:G16"/>
    <mergeCell ref="B17:D17"/>
    <mergeCell ref="E17:G17"/>
    <mergeCell ref="C11:G11"/>
    <mergeCell ref="B13:G13"/>
    <mergeCell ref="B14:D14"/>
    <mergeCell ref="E14:G14"/>
    <mergeCell ref="B15:D15"/>
    <mergeCell ref="E15:G1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C7605-F06F-4139-BC77-4C056FC8AC91}">
  <dimension ref="B2:AZ17"/>
  <sheetViews>
    <sheetView workbookViewId="0">
      <selection activeCell="C10" sqref="C10"/>
    </sheetView>
  </sheetViews>
  <sheetFormatPr defaultRowHeight="14.4" x14ac:dyDescent="0.3"/>
  <cols>
    <col min="1" max="1" width="3.77734375" style="1" customWidth="1"/>
    <col min="2" max="2" width="10.5546875" style="1" bestFit="1" customWidth="1"/>
    <col min="3" max="3" width="8.88671875" style="1"/>
    <col min="4" max="5" width="4.5546875" style="1" customWidth="1"/>
    <col min="6" max="6" width="8.88671875" style="1"/>
    <col min="7" max="8" width="4.5546875" style="1" customWidth="1"/>
    <col min="9" max="9" width="8.88671875" style="1"/>
    <col min="10" max="10" width="4.109375" style="1" customWidth="1"/>
    <col min="11" max="11" width="4.21875" style="1" customWidth="1"/>
    <col min="12" max="50" width="3.21875" style="1" customWidth="1"/>
    <col min="51" max="51" width="3.33203125" style="1" customWidth="1"/>
    <col min="52" max="52" width="3.109375" style="1" customWidth="1"/>
    <col min="53" max="16384" width="8.88671875" style="1"/>
  </cols>
  <sheetData>
    <row r="2" spans="2:52" ht="15" thickBot="1" x14ac:dyDescent="0.35"/>
    <row r="3" spans="2:52" ht="15" thickBot="1" x14ac:dyDescent="0.35">
      <c r="B3" s="13" t="s">
        <v>16</v>
      </c>
      <c r="C3" s="30" t="s">
        <v>1</v>
      </c>
      <c r="D3" s="46" t="s">
        <v>2</v>
      </c>
      <c r="E3" s="47"/>
      <c r="F3" s="31" t="s">
        <v>3</v>
      </c>
      <c r="G3" s="44" t="s">
        <v>4</v>
      </c>
      <c r="H3" s="45"/>
      <c r="I3" s="12" t="s">
        <v>5</v>
      </c>
      <c r="L3" s="10">
        <v>0</v>
      </c>
      <c r="M3" s="11">
        <v>1</v>
      </c>
      <c r="N3" s="11">
        <v>2</v>
      </c>
      <c r="O3" s="11">
        <v>3</v>
      </c>
      <c r="P3" s="11">
        <v>4</v>
      </c>
      <c r="Q3" s="11">
        <v>5</v>
      </c>
      <c r="R3" s="11">
        <v>6</v>
      </c>
      <c r="S3" s="11">
        <v>7</v>
      </c>
      <c r="T3" s="11">
        <v>8</v>
      </c>
      <c r="U3" s="11">
        <v>9</v>
      </c>
      <c r="V3" s="11">
        <v>10</v>
      </c>
      <c r="W3" s="11">
        <v>11</v>
      </c>
      <c r="X3" s="11">
        <v>12</v>
      </c>
      <c r="Y3" s="11">
        <v>13</v>
      </c>
      <c r="Z3" s="11">
        <v>14</v>
      </c>
      <c r="AA3" s="11">
        <v>15</v>
      </c>
      <c r="AB3" s="11">
        <v>16</v>
      </c>
      <c r="AC3" s="11">
        <v>17</v>
      </c>
      <c r="AD3" s="11">
        <v>18</v>
      </c>
      <c r="AE3" s="11">
        <v>19</v>
      </c>
      <c r="AF3" s="11">
        <v>20</v>
      </c>
      <c r="AG3" s="11">
        <v>21</v>
      </c>
      <c r="AH3" s="11">
        <v>22</v>
      </c>
      <c r="AI3" s="11">
        <v>23</v>
      </c>
      <c r="AJ3" s="11">
        <v>24</v>
      </c>
      <c r="AK3" s="11">
        <v>25</v>
      </c>
      <c r="AL3" s="11">
        <v>26</v>
      </c>
      <c r="AM3" s="11">
        <v>27</v>
      </c>
      <c r="AN3" s="11">
        <v>28</v>
      </c>
      <c r="AO3" s="11">
        <v>29</v>
      </c>
      <c r="AP3" s="11">
        <v>30</v>
      </c>
      <c r="AQ3" s="11">
        <v>31</v>
      </c>
      <c r="AR3" s="11">
        <v>32</v>
      </c>
      <c r="AS3" s="11">
        <v>33</v>
      </c>
      <c r="AT3" s="11">
        <v>34</v>
      </c>
      <c r="AU3" s="11">
        <v>35</v>
      </c>
      <c r="AV3" s="11">
        <v>36</v>
      </c>
      <c r="AW3" s="11">
        <v>37</v>
      </c>
      <c r="AX3" s="11">
        <v>38</v>
      </c>
      <c r="AY3" s="11">
        <v>39</v>
      </c>
      <c r="AZ3" s="12">
        <v>40</v>
      </c>
    </row>
    <row r="4" spans="2:52" x14ac:dyDescent="0.3">
      <c r="B4" s="40" t="s">
        <v>6</v>
      </c>
      <c r="C4" s="32">
        <v>0</v>
      </c>
      <c r="D4" s="33">
        <v>1</v>
      </c>
      <c r="E4" s="34">
        <v>8</v>
      </c>
      <c r="F4" s="32">
        <v>3</v>
      </c>
      <c r="G4" s="33">
        <v>9</v>
      </c>
      <c r="H4" s="34">
        <v>18</v>
      </c>
      <c r="I4" s="34">
        <v>12</v>
      </c>
      <c r="K4" s="27" t="s">
        <v>1</v>
      </c>
      <c r="L4" s="48"/>
      <c r="M4" s="19"/>
      <c r="N4" s="19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"/>
      <c r="AZ4" s="3"/>
    </row>
    <row r="5" spans="2:52" x14ac:dyDescent="0.3">
      <c r="B5" s="18" t="s">
        <v>7</v>
      </c>
      <c r="C5" s="20">
        <v>3</v>
      </c>
      <c r="D5" s="36">
        <v>8</v>
      </c>
      <c r="E5" s="37">
        <v>3</v>
      </c>
      <c r="F5" s="20">
        <v>2</v>
      </c>
      <c r="G5" s="36">
        <v>20</v>
      </c>
      <c r="H5" s="37">
        <v>15</v>
      </c>
      <c r="I5" s="37">
        <v>5</v>
      </c>
      <c r="K5" s="14" t="s">
        <v>2</v>
      </c>
      <c r="L5" s="24"/>
      <c r="M5" s="49"/>
      <c r="N5" s="29"/>
      <c r="O5" s="20"/>
      <c r="P5" s="20"/>
      <c r="Q5" s="20"/>
      <c r="R5" s="20"/>
      <c r="S5" s="20"/>
      <c r="T5" s="49"/>
      <c r="U5" s="29"/>
      <c r="V5" s="20"/>
      <c r="W5" s="20"/>
      <c r="X5" s="20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5"/>
      <c r="AZ5" s="6"/>
    </row>
    <row r="6" spans="2:52" ht="15" thickBot="1" x14ac:dyDescent="0.35">
      <c r="B6" s="15" t="s">
        <v>8</v>
      </c>
      <c r="C6" s="8">
        <v>0</v>
      </c>
      <c r="D6" s="4">
        <v>3</v>
      </c>
      <c r="E6" s="6">
        <v>10</v>
      </c>
      <c r="F6" s="8">
        <v>8</v>
      </c>
      <c r="G6" s="4">
        <v>13</v>
      </c>
      <c r="H6" s="6">
        <v>23</v>
      </c>
      <c r="I6" s="9">
        <v>18</v>
      </c>
      <c r="K6" s="14" t="s">
        <v>3</v>
      </c>
      <c r="L6" s="24"/>
      <c r="M6" s="21"/>
      <c r="N6" s="21"/>
      <c r="O6" s="49"/>
      <c r="P6" s="29"/>
      <c r="Q6" s="29"/>
      <c r="R6" s="29"/>
      <c r="S6" s="29"/>
      <c r="T6" s="20"/>
      <c r="U6" s="20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5"/>
      <c r="AZ6" s="6"/>
    </row>
    <row r="7" spans="2:52" ht="15" thickBot="1" x14ac:dyDescent="0.35">
      <c r="B7" s="14" t="s">
        <v>9</v>
      </c>
      <c r="C7" s="10">
        <v>3</v>
      </c>
      <c r="D7" s="10">
        <v>11</v>
      </c>
      <c r="E7" s="12">
        <v>13</v>
      </c>
      <c r="F7" s="11">
        <v>10</v>
      </c>
      <c r="G7" s="10">
        <v>33</v>
      </c>
      <c r="H7" s="12">
        <v>38</v>
      </c>
      <c r="I7" s="12">
        <v>23</v>
      </c>
      <c r="K7" s="14" t="s">
        <v>4</v>
      </c>
      <c r="L7" s="24"/>
      <c r="M7" s="21"/>
      <c r="N7" s="21"/>
      <c r="O7" s="21"/>
      <c r="P7" s="21"/>
      <c r="Q7" s="21"/>
      <c r="R7" s="21"/>
      <c r="S7" s="21"/>
      <c r="T7" s="21"/>
      <c r="U7" s="49"/>
      <c r="V7" s="29"/>
      <c r="W7" s="29"/>
      <c r="X7" s="29"/>
      <c r="Y7" s="20"/>
      <c r="Z7" s="20"/>
      <c r="AA7" s="20"/>
      <c r="AB7" s="20"/>
      <c r="AC7" s="20"/>
      <c r="AD7" s="49"/>
      <c r="AE7" s="29"/>
      <c r="AF7" s="29"/>
      <c r="AG7" s="29"/>
      <c r="AH7" s="29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1"/>
      <c r="AY7" s="5"/>
      <c r="AZ7" s="6"/>
    </row>
    <row r="8" spans="2:52" ht="15" thickBot="1" x14ac:dyDescent="0.35">
      <c r="B8" s="38" t="s">
        <v>13</v>
      </c>
      <c r="C8" s="82">
        <v>0</v>
      </c>
      <c r="D8" s="82">
        <v>2</v>
      </c>
      <c r="E8" s="83">
        <v>2</v>
      </c>
      <c r="F8" s="29">
        <v>5</v>
      </c>
      <c r="G8" s="82">
        <v>4</v>
      </c>
      <c r="H8" s="83">
        <v>5</v>
      </c>
      <c r="I8" s="83">
        <v>6</v>
      </c>
      <c r="K8" s="15" t="s">
        <v>5</v>
      </c>
      <c r="L8" s="25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50"/>
      <c r="Y8" s="35"/>
      <c r="Z8" s="35"/>
      <c r="AA8" s="35"/>
      <c r="AB8" s="35"/>
      <c r="AC8" s="35"/>
      <c r="AD8" s="22"/>
      <c r="AE8" s="22"/>
      <c r="AF8" s="22"/>
      <c r="AG8" s="22"/>
      <c r="AH8" s="22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8"/>
      <c r="AZ8" s="9"/>
    </row>
    <row r="9" spans="2:52" s="81" customFormat="1" ht="29.4" thickBot="1" x14ac:dyDescent="0.35">
      <c r="B9" s="84" t="s">
        <v>28</v>
      </c>
      <c r="C9" s="69">
        <f>C8+C5</f>
        <v>3</v>
      </c>
      <c r="D9" s="85">
        <f t="shared" ref="D9:I9" si="0">D8+D5</f>
        <v>10</v>
      </c>
      <c r="E9" s="71">
        <f t="shared" si="0"/>
        <v>5</v>
      </c>
      <c r="F9" s="69">
        <f t="shared" si="0"/>
        <v>7</v>
      </c>
      <c r="G9" s="85">
        <f t="shared" si="0"/>
        <v>24</v>
      </c>
      <c r="H9" s="71">
        <f t="shared" si="0"/>
        <v>20</v>
      </c>
      <c r="I9" s="69">
        <f t="shared" si="0"/>
        <v>11</v>
      </c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</row>
    <row r="10" spans="2:52" ht="15" thickBot="1" x14ac:dyDescent="0.35">
      <c r="B10" s="13" t="s">
        <v>14</v>
      </c>
      <c r="C10" s="117">
        <f>SUM(C8:I8)/7</f>
        <v>3.4285714285714284</v>
      </c>
    </row>
    <row r="11" spans="2:52" ht="15" thickBot="1" x14ac:dyDescent="0.35">
      <c r="B11" s="13" t="s">
        <v>17</v>
      </c>
      <c r="C11" s="42" t="s">
        <v>19</v>
      </c>
      <c r="D11" s="42"/>
      <c r="E11" s="42"/>
      <c r="F11" s="42"/>
      <c r="G11" s="43"/>
    </row>
    <row r="12" spans="2:52" ht="15" thickBot="1" x14ac:dyDescent="0.35"/>
    <row r="13" spans="2:52" ht="15" thickBot="1" x14ac:dyDescent="0.35">
      <c r="B13" s="64" t="s">
        <v>29</v>
      </c>
      <c r="C13" s="65"/>
      <c r="D13" s="65"/>
      <c r="E13" s="65"/>
      <c r="F13" s="65"/>
      <c r="G13" s="66"/>
      <c r="I13" s="17"/>
    </row>
    <row r="14" spans="2:52" ht="15" thickBot="1" x14ac:dyDescent="0.35">
      <c r="B14" s="72" t="s">
        <v>23</v>
      </c>
      <c r="C14" s="73"/>
      <c r="D14" s="73"/>
      <c r="E14" s="74">
        <v>1</v>
      </c>
      <c r="F14" s="75"/>
      <c r="G14" s="76"/>
      <c r="I14" s="17"/>
    </row>
    <row r="15" spans="2:52" ht="15" thickBot="1" x14ac:dyDescent="0.35">
      <c r="B15" s="60" t="s">
        <v>20</v>
      </c>
      <c r="C15" s="61"/>
      <c r="D15" s="61"/>
      <c r="E15" s="86">
        <f>SUM(C9:I9)/7</f>
        <v>11.428571428571429</v>
      </c>
      <c r="F15" s="87"/>
      <c r="G15" s="88"/>
      <c r="I15" s="17"/>
    </row>
    <row r="16" spans="2:52" ht="15" thickBot="1" x14ac:dyDescent="0.35">
      <c r="B16" s="62" t="s">
        <v>21</v>
      </c>
      <c r="C16" s="63"/>
      <c r="D16" s="63"/>
      <c r="E16" s="89">
        <f>SUM(C8:I8)/7</f>
        <v>3.4285714285714284</v>
      </c>
      <c r="F16" s="90"/>
      <c r="G16" s="91"/>
      <c r="I16" s="17"/>
      <c r="K16" s="5"/>
    </row>
    <row r="17" spans="2:9" ht="15" thickBot="1" x14ac:dyDescent="0.35">
      <c r="B17" s="55" t="s">
        <v>22</v>
      </c>
      <c r="C17" s="56"/>
      <c r="D17" s="56"/>
      <c r="E17" s="52">
        <v>3.4</v>
      </c>
      <c r="F17" s="53"/>
      <c r="G17" s="54"/>
      <c r="I17" s="41"/>
    </row>
  </sheetData>
  <mergeCells count="12">
    <mergeCell ref="B15:D15"/>
    <mergeCell ref="E15:G15"/>
    <mergeCell ref="B16:D16"/>
    <mergeCell ref="E16:G16"/>
    <mergeCell ref="B17:D17"/>
    <mergeCell ref="E17:G17"/>
    <mergeCell ref="G3:H3"/>
    <mergeCell ref="D3:E3"/>
    <mergeCell ref="C11:G11"/>
    <mergeCell ref="B13:G13"/>
    <mergeCell ref="B14:D14"/>
    <mergeCell ref="E14:G14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1F331-7366-4F5E-AF41-D0D10D50E1B6}">
  <dimension ref="B2:BE17"/>
  <sheetViews>
    <sheetView zoomScale="70" zoomScaleNormal="70" workbookViewId="0">
      <selection activeCell="X18" sqref="X18"/>
    </sheetView>
  </sheetViews>
  <sheetFormatPr defaultRowHeight="14.4" x14ac:dyDescent="0.3"/>
  <cols>
    <col min="1" max="1" width="3.77734375" style="1" customWidth="1"/>
    <col min="2" max="2" width="10.5546875" style="1" bestFit="1" customWidth="1"/>
    <col min="3" max="14" width="3.77734375" style="1" customWidth="1"/>
    <col min="15" max="15" width="4.109375" style="1" customWidth="1"/>
    <col min="16" max="16" width="4.21875" style="1" customWidth="1"/>
    <col min="17" max="55" width="3.21875" style="1" customWidth="1"/>
    <col min="56" max="56" width="3.33203125" style="1" customWidth="1"/>
    <col min="57" max="57" width="3.109375" style="1" customWidth="1"/>
    <col min="58" max="16384" width="8.88671875" style="1"/>
  </cols>
  <sheetData>
    <row r="2" spans="2:57" ht="15" thickBot="1" x14ac:dyDescent="0.35"/>
    <row r="3" spans="2:57" ht="15" thickBot="1" x14ac:dyDescent="0.35">
      <c r="B3" s="10" t="s">
        <v>16</v>
      </c>
      <c r="C3" s="93" t="s">
        <v>1</v>
      </c>
      <c r="D3" s="92"/>
      <c r="E3" s="92"/>
      <c r="F3" s="93" t="s">
        <v>2</v>
      </c>
      <c r="G3" s="92"/>
      <c r="H3" s="92"/>
      <c r="I3" s="93" t="s">
        <v>3</v>
      </c>
      <c r="J3" s="92"/>
      <c r="K3" s="92"/>
      <c r="L3" s="93" t="s">
        <v>4</v>
      </c>
      <c r="M3" s="92"/>
      <c r="N3" s="94"/>
      <c r="Q3" s="27">
        <v>0</v>
      </c>
      <c r="R3" s="2">
        <v>1</v>
      </c>
      <c r="S3" s="2">
        <v>2</v>
      </c>
      <c r="T3" s="2">
        <v>3</v>
      </c>
      <c r="U3" s="2">
        <v>4</v>
      </c>
      <c r="V3" s="2">
        <v>5</v>
      </c>
      <c r="W3" s="2">
        <v>6</v>
      </c>
      <c r="X3" s="2">
        <v>7</v>
      </c>
      <c r="Y3" s="2">
        <v>8</v>
      </c>
      <c r="Z3" s="2">
        <v>9</v>
      </c>
      <c r="AA3" s="2">
        <v>10</v>
      </c>
      <c r="AB3" s="2">
        <v>11</v>
      </c>
      <c r="AC3" s="2">
        <v>12</v>
      </c>
      <c r="AD3" s="2">
        <v>13</v>
      </c>
      <c r="AE3" s="2">
        <v>14</v>
      </c>
      <c r="AF3" s="2">
        <v>15</v>
      </c>
      <c r="AG3" s="2">
        <v>16</v>
      </c>
      <c r="AH3" s="2">
        <v>17</v>
      </c>
      <c r="AI3" s="2">
        <v>18</v>
      </c>
      <c r="AJ3" s="2">
        <v>19</v>
      </c>
      <c r="AK3" s="2">
        <v>20</v>
      </c>
      <c r="AL3" s="2">
        <v>21</v>
      </c>
      <c r="AM3" s="2">
        <v>22</v>
      </c>
      <c r="AN3" s="2">
        <v>23</v>
      </c>
      <c r="AO3" s="2">
        <v>24</v>
      </c>
      <c r="AP3" s="2">
        <v>25</v>
      </c>
      <c r="AQ3" s="2">
        <v>26</v>
      </c>
      <c r="AR3" s="2">
        <v>27</v>
      </c>
      <c r="AS3" s="2">
        <v>28</v>
      </c>
      <c r="AT3" s="2">
        <v>29</v>
      </c>
      <c r="AU3" s="2">
        <v>30</v>
      </c>
      <c r="AV3" s="2">
        <v>31</v>
      </c>
      <c r="AW3" s="2">
        <v>32</v>
      </c>
      <c r="AX3" s="2">
        <v>33</v>
      </c>
      <c r="AY3" s="2">
        <v>34</v>
      </c>
      <c r="AZ3" s="2">
        <v>35</v>
      </c>
      <c r="BA3" s="2">
        <v>36</v>
      </c>
      <c r="BB3" s="2">
        <v>37</v>
      </c>
      <c r="BC3" s="2">
        <v>38</v>
      </c>
      <c r="BD3" s="2">
        <v>39</v>
      </c>
      <c r="BE3" s="28">
        <v>40</v>
      </c>
    </row>
    <row r="4" spans="2:57" ht="15" thickBot="1" x14ac:dyDescent="0.35">
      <c r="B4" s="33" t="s">
        <v>6</v>
      </c>
      <c r="C4" s="102">
        <v>0</v>
      </c>
      <c r="D4" s="101">
        <v>4</v>
      </c>
      <c r="E4" s="101">
        <v>12</v>
      </c>
      <c r="F4" s="102">
        <v>3</v>
      </c>
      <c r="G4" s="101">
        <v>8</v>
      </c>
      <c r="H4" s="101">
        <v>20</v>
      </c>
      <c r="I4" s="102">
        <v>6</v>
      </c>
      <c r="J4" s="101">
        <v>16</v>
      </c>
      <c r="K4" s="101">
        <v>29</v>
      </c>
      <c r="L4" s="102">
        <v>11</v>
      </c>
      <c r="M4" s="101">
        <v>24</v>
      </c>
      <c r="N4" s="103">
        <v>34</v>
      </c>
      <c r="P4" s="16" t="s">
        <v>1</v>
      </c>
      <c r="Q4" s="119"/>
      <c r="R4" s="119"/>
      <c r="S4" s="119"/>
      <c r="T4" s="118"/>
      <c r="U4" s="100"/>
      <c r="V4" s="67"/>
      <c r="W4" s="67"/>
      <c r="X4" s="67"/>
      <c r="Y4" s="119"/>
      <c r="Z4" s="119"/>
      <c r="AA4" s="119"/>
      <c r="AB4" s="118"/>
      <c r="AC4" s="100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118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"/>
      <c r="BE4" s="28"/>
    </row>
    <row r="5" spans="2:57" ht="15" thickBot="1" x14ac:dyDescent="0.35">
      <c r="B5" s="36" t="s">
        <v>7</v>
      </c>
      <c r="C5" s="36">
        <v>9</v>
      </c>
      <c r="D5" s="20">
        <v>5</v>
      </c>
      <c r="E5" s="20">
        <v>1</v>
      </c>
      <c r="F5" s="36">
        <v>9</v>
      </c>
      <c r="G5" s="20">
        <v>5</v>
      </c>
      <c r="H5" s="20">
        <v>1</v>
      </c>
      <c r="I5" s="36">
        <v>9</v>
      </c>
      <c r="J5" s="20">
        <v>5</v>
      </c>
      <c r="K5" s="20">
        <v>1</v>
      </c>
      <c r="L5" s="36">
        <v>9</v>
      </c>
      <c r="M5" s="20">
        <v>5</v>
      </c>
      <c r="N5" s="37">
        <v>1</v>
      </c>
      <c r="P5" s="14" t="s">
        <v>2</v>
      </c>
      <c r="Q5" s="21"/>
      <c r="R5" s="21"/>
      <c r="S5" s="21"/>
      <c r="T5" s="39"/>
      <c r="U5" s="119"/>
      <c r="V5" s="119"/>
      <c r="W5" s="119"/>
      <c r="X5" s="118"/>
      <c r="Y5" s="100"/>
      <c r="Z5" s="67"/>
      <c r="AA5" s="67"/>
      <c r="AB5" s="67"/>
      <c r="AC5" s="67"/>
      <c r="AD5" s="67"/>
      <c r="AE5" s="67"/>
      <c r="AF5" s="67"/>
      <c r="AG5" s="119"/>
      <c r="AH5" s="119"/>
      <c r="AI5" s="119"/>
      <c r="AJ5" s="118"/>
      <c r="AK5" s="100"/>
      <c r="AL5" s="67"/>
      <c r="AM5" s="67"/>
      <c r="AN5" s="67"/>
      <c r="AO5" s="67"/>
      <c r="AP5" s="67"/>
      <c r="AQ5" s="67"/>
      <c r="AR5" s="67"/>
      <c r="AS5" s="67"/>
      <c r="AT5" s="118"/>
      <c r="AU5" s="21"/>
      <c r="AV5" s="21"/>
      <c r="AW5" s="21"/>
      <c r="AX5" s="21"/>
      <c r="AY5" s="21"/>
      <c r="AZ5" s="21"/>
      <c r="BA5" s="21"/>
      <c r="BB5" s="21"/>
      <c r="BC5" s="21"/>
      <c r="BD5" s="5"/>
      <c r="BE5" s="6"/>
    </row>
    <row r="6" spans="2:57" ht="15" thickBot="1" x14ac:dyDescent="0.35">
      <c r="B6" s="7" t="s">
        <v>8</v>
      </c>
      <c r="C6" s="4">
        <v>0</v>
      </c>
      <c r="D6" s="5">
        <v>8</v>
      </c>
      <c r="E6" s="5">
        <v>24</v>
      </c>
      <c r="F6" s="4">
        <v>4</v>
      </c>
      <c r="G6" s="5">
        <v>16</v>
      </c>
      <c r="H6" s="5">
        <v>29</v>
      </c>
      <c r="I6" s="4">
        <v>12</v>
      </c>
      <c r="J6" s="5">
        <v>25</v>
      </c>
      <c r="K6" s="5">
        <v>34</v>
      </c>
      <c r="L6" s="4">
        <v>20</v>
      </c>
      <c r="M6" s="5">
        <v>30</v>
      </c>
      <c r="N6" s="6">
        <v>35</v>
      </c>
      <c r="P6" s="14" t="s">
        <v>3</v>
      </c>
      <c r="Q6" s="21"/>
      <c r="R6" s="21"/>
      <c r="S6" s="21"/>
      <c r="T6" s="21"/>
      <c r="U6" s="21"/>
      <c r="V6" s="21"/>
      <c r="W6" s="39"/>
      <c r="X6" s="35"/>
      <c r="Y6" s="67"/>
      <c r="Z6" s="67"/>
      <c r="AA6" s="67"/>
      <c r="AB6" s="67"/>
      <c r="AC6" s="119"/>
      <c r="AD6" s="119"/>
      <c r="AE6" s="119"/>
      <c r="AF6" s="118"/>
      <c r="AG6" s="100"/>
      <c r="AH6" s="67"/>
      <c r="AI6" s="67"/>
      <c r="AJ6" s="67"/>
      <c r="AK6" s="67"/>
      <c r="AL6" s="67"/>
      <c r="AM6" s="67"/>
      <c r="AN6" s="67"/>
      <c r="AO6" s="67"/>
      <c r="AP6" s="119"/>
      <c r="AQ6" s="119"/>
      <c r="AR6" s="119"/>
      <c r="AS6" s="118"/>
      <c r="AT6" s="100"/>
      <c r="AU6" s="67"/>
      <c r="AV6" s="67"/>
      <c r="AW6" s="67"/>
      <c r="AX6" s="67"/>
      <c r="AY6" s="118"/>
      <c r="AZ6" s="21"/>
      <c r="BA6" s="21"/>
      <c r="BB6" s="21"/>
      <c r="BC6" s="21"/>
      <c r="BD6" s="5"/>
      <c r="BE6" s="6"/>
    </row>
    <row r="7" spans="2:57" ht="15" thickBot="1" x14ac:dyDescent="0.35">
      <c r="B7" s="4" t="s">
        <v>9</v>
      </c>
      <c r="C7" s="10">
        <v>4</v>
      </c>
      <c r="D7" s="11">
        <v>12</v>
      </c>
      <c r="E7" s="11">
        <v>25</v>
      </c>
      <c r="F7" s="10">
        <v>8</v>
      </c>
      <c r="G7" s="11">
        <v>2</v>
      </c>
      <c r="H7" s="11">
        <v>30</v>
      </c>
      <c r="I7" s="10">
        <v>16</v>
      </c>
      <c r="J7" s="11">
        <v>29</v>
      </c>
      <c r="K7" s="11">
        <v>35</v>
      </c>
      <c r="L7" s="10">
        <v>24</v>
      </c>
      <c r="M7" s="11">
        <v>34</v>
      </c>
      <c r="N7" s="12">
        <v>36</v>
      </c>
      <c r="P7" s="15" t="s">
        <v>4</v>
      </c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39"/>
      <c r="AC7" s="35"/>
      <c r="AD7" s="35"/>
      <c r="AE7" s="35"/>
      <c r="AF7" s="35"/>
      <c r="AG7" s="67"/>
      <c r="AH7" s="67"/>
      <c r="AI7" s="67"/>
      <c r="AJ7" s="67"/>
      <c r="AK7" s="119"/>
      <c r="AL7" s="119"/>
      <c r="AM7" s="119"/>
      <c r="AN7" s="118"/>
      <c r="AO7" s="100"/>
      <c r="AP7" s="67"/>
      <c r="AQ7" s="67"/>
      <c r="AR7" s="67"/>
      <c r="AS7" s="67"/>
      <c r="AT7" s="67"/>
      <c r="AU7" s="119"/>
      <c r="AV7" s="119"/>
      <c r="AW7" s="119"/>
      <c r="AX7" s="118"/>
      <c r="AY7" s="100"/>
      <c r="AZ7" s="118"/>
      <c r="BA7" s="26"/>
      <c r="BB7" s="26"/>
      <c r="BC7" s="26"/>
      <c r="BD7" s="8"/>
      <c r="BE7" s="9"/>
    </row>
    <row r="8" spans="2:57" ht="15" thickBot="1" x14ac:dyDescent="0.35">
      <c r="B8" s="100" t="s">
        <v>13</v>
      </c>
      <c r="C8" s="113">
        <v>0</v>
      </c>
      <c r="D8" s="114">
        <v>4</v>
      </c>
      <c r="E8" s="114">
        <v>12</v>
      </c>
      <c r="F8" s="113">
        <v>1</v>
      </c>
      <c r="G8" s="114">
        <v>8</v>
      </c>
      <c r="H8" s="114">
        <v>9</v>
      </c>
      <c r="I8" s="113">
        <v>6</v>
      </c>
      <c r="J8" s="114">
        <v>9</v>
      </c>
      <c r="K8" s="114">
        <v>5</v>
      </c>
      <c r="L8" s="113">
        <v>9</v>
      </c>
      <c r="M8" s="114">
        <v>6</v>
      </c>
      <c r="N8" s="115">
        <v>1</v>
      </c>
      <c r="P8" s="5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5"/>
      <c r="BE8" s="5"/>
    </row>
    <row r="9" spans="2:57" s="81" customFormat="1" ht="29.4" thickBot="1" x14ac:dyDescent="0.35">
      <c r="B9" s="84" t="s">
        <v>28</v>
      </c>
      <c r="C9" s="85">
        <f>C5+C8</f>
        <v>9</v>
      </c>
      <c r="D9" s="70">
        <f t="shared" ref="D9:N9" si="0">D5+D8</f>
        <v>9</v>
      </c>
      <c r="E9" s="70">
        <f t="shared" si="0"/>
        <v>13</v>
      </c>
      <c r="F9" s="85">
        <f t="shared" si="0"/>
        <v>10</v>
      </c>
      <c r="G9" s="70">
        <f t="shared" si="0"/>
        <v>13</v>
      </c>
      <c r="H9" s="70">
        <f t="shared" si="0"/>
        <v>10</v>
      </c>
      <c r="I9" s="85">
        <f t="shared" si="0"/>
        <v>15</v>
      </c>
      <c r="J9" s="70">
        <f t="shared" si="0"/>
        <v>14</v>
      </c>
      <c r="K9" s="70">
        <f t="shared" si="0"/>
        <v>6</v>
      </c>
      <c r="L9" s="85">
        <f t="shared" si="0"/>
        <v>18</v>
      </c>
      <c r="M9" s="70">
        <f t="shared" si="0"/>
        <v>11</v>
      </c>
      <c r="N9" s="71">
        <f t="shared" si="0"/>
        <v>2</v>
      </c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</row>
    <row r="10" spans="2:57" ht="15" thickBot="1" x14ac:dyDescent="0.35">
      <c r="B10" s="10" t="s">
        <v>14</v>
      </c>
      <c r="C10" s="86">
        <f>SUM(C8:N8)/12</f>
        <v>5.833333333333333</v>
      </c>
      <c r="D10" s="87"/>
      <c r="E10" s="88"/>
      <c r="F10" s="5"/>
      <c r="G10" s="5"/>
      <c r="H10" s="5"/>
      <c r="I10" s="5"/>
      <c r="J10" s="5"/>
      <c r="K10" s="5"/>
      <c r="L10" s="5"/>
      <c r="M10" s="5"/>
      <c r="N10" s="5"/>
    </row>
    <row r="11" spans="2:57" ht="15" thickBot="1" x14ac:dyDescent="0.35">
      <c r="B11" s="13" t="s">
        <v>17</v>
      </c>
      <c r="C11" s="116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3"/>
    </row>
    <row r="12" spans="2:57" ht="15" thickBot="1" x14ac:dyDescent="0.35"/>
    <row r="13" spans="2:57" ht="15" thickBot="1" x14ac:dyDescent="0.35">
      <c r="B13" s="64" t="s">
        <v>29</v>
      </c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6"/>
    </row>
    <row r="14" spans="2:57" ht="15" thickBot="1" x14ac:dyDescent="0.35">
      <c r="B14" s="104" t="s">
        <v>23</v>
      </c>
      <c r="C14" s="105"/>
      <c r="D14" s="96"/>
      <c r="E14" s="96"/>
      <c r="F14" s="96"/>
      <c r="G14" s="74">
        <v>1</v>
      </c>
      <c r="H14" s="95"/>
      <c r="I14" s="95"/>
      <c r="J14" s="95"/>
      <c r="K14" s="95"/>
      <c r="L14" s="95"/>
      <c r="M14" s="95"/>
      <c r="N14" s="112"/>
    </row>
    <row r="15" spans="2:57" ht="15" thickBot="1" x14ac:dyDescent="0.35">
      <c r="B15" s="106" t="s">
        <v>20</v>
      </c>
      <c r="C15" s="107"/>
      <c r="D15" s="97"/>
      <c r="E15" s="97"/>
      <c r="F15" s="97"/>
      <c r="G15" s="86">
        <f>SUM(C9:N9)/12</f>
        <v>10.833333333333334</v>
      </c>
      <c r="H15" s="87"/>
      <c r="I15" s="87"/>
      <c r="J15" s="87"/>
      <c r="K15" s="87"/>
      <c r="L15" s="87"/>
      <c r="M15" s="87"/>
      <c r="N15" s="88"/>
    </row>
    <row r="16" spans="2:57" ht="15" thickBot="1" x14ac:dyDescent="0.35">
      <c r="B16" s="108" t="s">
        <v>21</v>
      </c>
      <c r="C16" s="109"/>
      <c r="D16" s="98"/>
      <c r="E16" s="98"/>
      <c r="F16" s="98"/>
      <c r="G16" s="89">
        <f>SUM(C8:N8)/12</f>
        <v>5.833333333333333</v>
      </c>
      <c r="H16" s="90"/>
      <c r="I16" s="90"/>
      <c r="J16" s="90"/>
      <c r="K16" s="90"/>
      <c r="L16" s="90"/>
      <c r="M16" s="90"/>
      <c r="N16" s="91"/>
      <c r="P16" s="5"/>
    </row>
    <row r="17" spans="2:14" ht="15" thickBot="1" x14ac:dyDescent="0.35">
      <c r="B17" s="110" t="s">
        <v>22</v>
      </c>
      <c r="C17" s="111"/>
      <c r="D17" s="99"/>
      <c r="E17" s="99"/>
      <c r="F17" s="99"/>
      <c r="G17" s="52">
        <v>5.8</v>
      </c>
      <c r="H17" s="53"/>
      <c r="I17" s="53"/>
      <c r="J17" s="53"/>
      <c r="K17" s="53"/>
      <c r="L17" s="53"/>
      <c r="M17" s="53"/>
      <c r="N17" s="54"/>
    </row>
  </sheetData>
  <mergeCells count="11">
    <mergeCell ref="C10:E10"/>
    <mergeCell ref="G15:N15"/>
    <mergeCell ref="G16:N16"/>
    <mergeCell ref="G17:N17"/>
    <mergeCell ref="C11:N11"/>
    <mergeCell ref="B13:N13"/>
    <mergeCell ref="G14:N14"/>
    <mergeCell ref="C3:E3"/>
    <mergeCell ref="F3:H3"/>
    <mergeCell ref="I3:K3"/>
    <mergeCell ref="L3:N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4</vt:i4>
      </vt:variant>
    </vt:vector>
  </HeadingPairs>
  <TitlesOfParts>
    <vt:vector size="4" baseType="lpstr">
      <vt:lpstr>FCFS</vt:lpstr>
      <vt:lpstr>SJF</vt:lpstr>
      <vt:lpstr>RR</vt:lpstr>
      <vt:lpstr>5.Task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Dániel Piszró</dc:creator>
  <cp:lastModifiedBy>Dániel Piszró</cp:lastModifiedBy>
  <dcterms:created xsi:type="dcterms:W3CDTF">2026-03-27T13:34:07Z</dcterms:created>
  <dcterms:modified xsi:type="dcterms:W3CDTF">2026-04-02T06:09:52Z</dcterms:modified>
</cp:coreProperties>
</file>